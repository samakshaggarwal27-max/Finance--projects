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ksh Aggarwal\OneDrive\Desktop\"/>
    </mc:Choice>
  </mc:AlternateContent>
  <xr:revisionPtr revIDLastSave="0" documentId="13_ncr:1_{910D902D-45D6-414A-A4AC-9C25BD2F0FE0}" xr6:coauthVersionLast="47" xr6:coauthVersionMax="47" xr10:uidLastSave="{00000000-0000-0000-0000-000000000000}"/>
  <bookViews>
    <workbookView xWindow="-108" yWindow="-108" windowWidth="23256" windowHeight="12456" xr2:uid="{ACBE7355-AE97-47EF-9F4A-2F65B19FF7FF}"/>
  </bookViews>
  <sheets>
    <sheet name="Sheet1" sheetId="1" r:id="rId1"/>
  </sheets>
  <definedNames>
    <definedName name="_xlnm._FilterDatabase" localSheetId="0" hidden="1">Sheet1!$A$7:$F$7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" l="1"/>
  <c r="J70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54" i="1"/>
  <c r="I70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54" i="1"/>
  <c r="H70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54" i="1"/>
  <c r="C48" i="1"/>
  <c r="J44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8" i="1"/>
  <c r="I44" i="1"/>
  <c r="I28" i="1"/>
  <c r="I32" i="1"/>
  <c r="I33" i="1"/>
  <c r="I34" i="1"/>
  <c r="I35" i="1"/>
  <c r="I36" i="1"/>
  <c r="I37" i="1"/>
  <c r="I38" i="1"/>
  <c r="I39" i="1"/>
  <c r="I40" i="1"/>
  <c r="H44" i="1"/>
  <c r="I29" i="1" s="1"/>
  <c r="C126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54" i="1"/>
  <c r="D107" i="1"/>
  <c r="G107" i="1" s="1"/>
  <c r="D108" i="1"/>
  <c r="G108" i="1" s="1"/>
  <c r="D109" i="1"/>
  <c r="G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06" i="1"/>
  <c r="E106" i="1" s="1"/>
  <c r="D96" i="1"/>
  <c r="E85" i="1" s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D44" i="1"/>
  <c r="E29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8" i="1"/>
  <c r="I31" i="1" l="1"/>
  <c r="I42" i="1"/>
  <c r="I30" i="1"/>
  <c r="I41" i="1"/>
  <c r="E107" i="1"/>
  <c r="E109" i="1"/>
  <c r="E108" i="1"/>
  <c r="G115" i="1"/>
  <c r="G113" i="1"/>
  <c r="G112" i="1"/>
  <c r="G111" i="1"/>
  <c r="G110" i="1"/>
  <c r="G106" i="1"/>
  <c r="G119" i="1"/>
  <c r="G118" i="1"/>
  <c r="G114" i="1"/>
  <c r="G120" i="1"/>
  <c r="G117" i="1"/>
  <c r="G116" i="1"/>
  <c r="E122" i="1"/>
  <c r="H85" i="1"/>
  <c r="F85" i="1"/>
  <c r="E84" i="1"/>
  <c r="E80" i="1"/>
  <c r="E83" i="1"/>
  <c r="E94" i="1"/>
  <c r="E82" i="1"/>
  <c r="E93" i="1"/>
  <c r="E81" i="1"/>
  <c r="E40" i="1"/>
  <c r="F40" i="1" s="1"/>
  <c r="E92" i="1"/>
  <c r="E39" i="1"/>
  <c r="E91" i="1"/>
  <c r="E38" i="1"/>
  <c r="F38" i="1" s="1"/>
  <c r="E90" i="1"/>
  <c r="E37" i="1"/>
  <c r="F37" i="1" s="1"/>
  <c r="E89" i="1"/>
  <c r="E36" i="1"/>
  <c r="F36" i="1" s="1"/>
  <c r="E88" i="1"/>
  <c r="E35" i="1"/>
  <c r="F35" i="1" s="1"/>
  <c r="E87" i="1"/>
  <c r="E34" i="1"/>
  <c r="F34" i="1" s="1"/>
  <c r="E86" i="1"/>
  <c r="E28" i="1"/>
  <c r="E70" i="1"/>
  <c r="F58" i="1" s="1"/>
  <c r="G58" i="1" s="1"/>
  <c r="E32" i="1"/>
  <c r="E31" i="1"/>
  <c r="F31" i="1" s="1"/>
  <c r="E42" i="1"/>
  <c r="F42" i="1" s="1"/>
  <c r="E30" i="1"/>
  <c r="F30" i="1" s="1"/>
  <c r="E33" i="1"/>
  <c r="F33" i="1" s="1"/>
  <c r="E41" i="1"/>
  <c r="F41" i="1" s="1"/>
  <c r="F39" i="1"/>
  <c r="F29" i="1"/>
  <c r="F28" i="1"/>
  <c r="F62" i="1"/>
  <c r="G62" i="1" s="1"/>
  <c r="F61" i="1"/>
  <c r="G61" i="1" s="1"/>
  <c r="F60" i="1"/>
  <c r="G60" i="1" s="1"/>
  <c r="F32" i="1"/>
  <c r="F59" i="1"/>
  <c r="G59" i="1" s="1"/>
  <c r="F56" i="1"/>
  <c r="G56" i="1" s="1"/>
  <c r="F68" i="1"/>
  <c r="G68" i="1" s="1"/>
  <c r="F67" i="1"/>
  <c r="G67" i="1" s="1"/>
  <c r="F55" i="1"/>
  <c r="G55" i="1" s="1"/>
  <c r="F54" i="1"/>
  <c r="F57" i="1" l="1"/>
  <c r="G57" i="1" s="1"/>
  <c r="F66" i="1"/>
  <c r="G66" i="1" s="1"/>
  <c r="F63" i="1"/>
  <c r="G63" i="1" s="1"/>
  <c r="F64" i="1"/>
  <c r="G64" i="1" s="1"/>
  <c r="G122" i="1"/>
  <c r="F65" i="1"/>
  <c r="G65" i="1" s="1"/>
  <c r="H86" i="1"/>
  <c r="F86" i="1"/>
  <c r="H92" i="1"/>
  <c r="F92" i="1"/>
  <c r="H87" i="1"/>
  <c r="F87" i="1"/>
  <c r="H81" i="1"/>
  <c r="F81" i="1"/>
  <c r="H93" i="1"/>
  <c r="F93" i="1"/>
  <c r="F88" i="1"/>
  <c r="H88" i="1"/>
  <c r="H82" i="1"/>
  <c r="F82" i="1"/>
  <c r="H94" i="1"/>
  <c r="F94" i="1"/>
  <c r="F89" i="1"/>
  <c r="H89" i="1"/>
  <c r="H83" i="1"/>
  <c r="F83" i="1"/>
  <c r="H80" i="1"/>
  <c r="E96" i="1"/>
  <c r="F80" i="1"/>
  <c r="F90" i="1"/>
  <c r="H90" i="1"/>
  <c r="H84" i="1"/>
  <c r="F84" i="1"/>
  <c r="H91" i="1"/>
  <c r="F91" i="1"/>
  <c r="E44" i="1"/>
  <c r="G54" i="1"/>
  <c r="F44" i="1"/>
  <c r="G70" i="1" l="1"/>
  <c r="F70" i="1"/>
  <c r="F96" i="1"/>
  <c r="H96" i="1"/>
  <c r="C100" i="1" s="1"/>
</calcChain>
</file>

<file path=xl/sharedStrings.xml><?xml version="1.0" encoding="utf-8"?>
<sst xmlns="http://schemas.openxmlformats.org/spreadsheetml/2006/main" count="141" uniqueCount="48">
  <si>
    <t>INDEX- NIFTY IRON &amp; STEEL</t>
  </si>
  <si>
    <t>BASIC DATA</t>
  </si>
  <si>
    <t>S.No.</t>
  </si>
  <si>
    <t>Name</t>
  </si>
  <si>
    <t>JSW Steel</t>
  </si>
  <si>
    <t>Tata Steel</t>
  </si>
  <si>
    <t>Jindal Steel</t>
  </si>
  <si>
    <t>Jindal Stain.</t>
  </si>
  <si>
    <t>S A I L</t>
  </si>
  <si>
    <t>Sarda Energy</t>
  </si>
  <si>
    <t>NMDC Steel</t>
  </si>
  <si>
    <t>Jai Balaji Inds.</t>
  </si>
  <si>
    <t>Prakash Industri</t>
  </si>
  <si>
    <t>Mukand</t>
  </si>
  <si>
    <t>Visa Steel</t>
  </si>
  <si>
    <t>Manaksia Steels</t>
  </si>
  <si>
    <t>Scan Steels</t>
  </si>
  <si>
    <t>KIC Metaliks</t>
  </si>
  <si>
    <t>Ankit Met.Power</t>
  </si>
  <si>
    <t>Prom. Hold. %</t>
  </si>
  <si>
    <t xml:space="preserve"> Total Quantity</t>
  </si>
  <si>
    <t>Free Float %</t>
  </si>
  <si>
    <t>MARKET CAP WEIGHTED INDEX</t>
  </si>
  <si>
    <t>TOTAL</t>
  </si>
  <si>
    <t>Price * Mar Cap %</t>
  </si>
  <si>
    <t>CMP Rs. (7/7/25)</t>
  </si>
  <si>
    <t>Price of NIFTY IRON &amp; STEEL (as on 7/7/25)</t>
  </si>
  <si>
    <t>Price of NIFTY IRON &amp; STEEL (as on 8/7/25)</t>
  </si>
  <si>
    <t xml:space="preserve">% Change in Price </t>
  </si>
  <si>
    <t>FREE FLOAT WEIGHTED INDEX</t>
  </si>
  <si>
    <t>Price * FFM%</t>
  </si>
  <si>
    <t>PRICE WEIGHTED INDEX</t>
  </si>
  <si>
    <t>Base Year Price (1/1/25)</t>
  </si>
  <si>
    <t>Base Price Weights</t>
  </si>
  <si>
    <t>Price * Base Price Weights</t>
  </si>
  <si>
    <t>EQUAL WEIGHTED INDEX</t>
  </si>
  <si>
    <t>Weights</t>
  </si>
  <si>
    <t>Price * Weights</t>
  </si>
  <si>
    <t>CMP Rs. (8/7/25)</t>
  </si>
  <si>
    <t>Mar Cap Rs.Cr. (7/7/25)</t>
  </si>
  <si>
    <t>Mar Cap Rs. Cr (8/7/25)</t>
  </si>
  <si>
    <t>Free Float Mar Cap (7/7/25)</t>
  </si>
  <si>
    <t>Mar CAP % (7/7/25)</t>
  </si>
  <si>
    <t>Free Float Mar Cap (8/7/25)</t>
  </si>
  <si>
    <t>Free Float Mar Cap % (7/7/25)</t>
  </si>
  <si>
    <t>Free Float Mar Cap % (8/7/25)</t>
  </si>
  <si>
    <t>Mar CAP % (8/7/25)</t>
  </si>
  <si>
    <t xml:space="preserve">Price * FFM%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</si>
</sst>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%"/>
    <numFmt numFmtId="166" formatCode="0.000000"/>
    <numFmt numFmtId="167" formatCode="0.0000"/>
    <numFmt numFmtId="168" formatCode="0.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0" xfId="0" applyFont="1"/>
    <xf numFmtId="165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" fontId="2" fillId="0" borderId="0" xfId="0" applyNumberFormat="1" applyFont="1"/>
    <xf numFmtId="0" fontId="2" fillId="0" borderId="1" xfId="0" applyFont="1" applyBorder="1"/>
    <xf numFmtId="165" fontId="4" fillId="0" borderId="1" xfId="0" applyNumberFormat="1" applyFont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10" fontId="5" fillId="5" borderId="11" xfId="1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DF64-0779-418D-81B7-E967324A74E3}">
  <dimension ref="A2:J126"/>
  <sheetViews>
    <sheetView showGridLines="0" tabSelected="1" topLeftCell="B21" zoomScale="80" zoomScaleNormal="80" workbookViewId="0">
      <selection activeCell="J25" sqref="J25"/>
    </sheetView>
  </sheetViews>
  <sheetFormatPr defaultRowHeight="14.4" x14ac:dyDescent="0.3"/>
  <cols>
    <col min="1" max="1" width="6.33203125" customWidth="1"/>
    <col min="2" max="2" width="59.109375" customWidth="1"/>
    <col min="3" max="3" width="19.88671875" customWidth="1"/>
    <col min="4" max="4" width="27.21875" customWidth="1"/>
    <col min="5" max="5" width="31.33203125" customWidth="1"/>
    <col min="6" max="6" width="34.21875" customWidth="1"/>
    <col min="7" max="7" width="21.109375" customWidth="1"/>
    <col min="8" max="8" width="30.109375" customWidth="1"/>
    <col min="9" max="9" width="32.88671875" customWidth="1"/>
    <col min="10" max="10" width="22.33203125" customWidth="1"/>
    <col min="25" max="25" width="8.88671875" customWidth="1"/>
    <col min="26" max="26" width="20" customWidth="1"/>
  </cols>
  <sheetData>
    <row r="2" spans="1:10" ht="31.2" x14ac:dyDescent="0.6">
      <c r="B2" s="42" t="s">
        <v>0</v>
      </c>
      <c r="C2" s="42"/>
      <c r="D2" s="42"/>
      <c r="E2" s="42"/>
      <c r="F2" s="42"/>
      <c r="G2" s="42"/>
      <c r="H2" s="42"/>
      <c r="I2" s="42"/>
      <c r="J2" s="42"/>
    </row>
    <row r="5" spans="1:10" ht="23.4" x14ac:dyDescent="0.45">
      <c r="B5" s="41" t="s">
        <v>1</v>
      </c>
      <c r="C5" s="41"/>
    </row>
    <row r="6" spans="1:10" ht="15" thickBot="1" x14ac:dyDescent="0.35"/>
    <row r="7" spans="1:10" ht="15.6" x14ac:dyDescent="0.3">
      <c r="A7" s="4" t="s">
        <v>2</v>
      </c>
      <c r="B7" s="5" t="s">
        <v>3</v>
      </c>
      <c r="C7" s="5" t="s">
        <v>25</v>
      </c>
      <c r="D7" s="5" t="s">
        <v>39</v>
      </c>
      <c r="E7" s="5" t="s">
        <v>20</v>
      </c>
      <c r="F7" s="5" t="s">
        <v>19</v>
      </c>
      <c r="G7" s="5" t="s">
        <v>21</v>
      </c>
      <c r="H7" s="5" t="s">
        <v>38</v>
      </c>
      <c r="I7" s="6" t="s">
        <v>40</v>
      </c>
    </row>
    <row r="8" spans="1:10" ht="15.6" x14ac:dyDescent="0.3">
      <c r="A8" s="7">
        <v>1</v>
      </c>
      <c r="B8" s="1" t="s">
        <v>4</v>
      </c>
      <c r="C8" s="1">
        <v>1042.5999999999999</v>
      </c>
      <c r="D8" s="1">
        <v>254950.79</v>
      </c>
      <c r="E8" s="2">
        <f>D8/C8</f>
        <v>244.53365624400541</v>
      </c>
      <c r="F8" s="3">
        <v>0.44840000000000002</v>
      </c>
      <c r="G8" s="15">
        <f>1-F8</f>
        <v>0.55159999999999998</v>
      </c>
      <c r="H8" s="1">
        <v>1045.05</v>
      </c>
      <c r="I8" s="13">
        <v>255562.14</v>
      </c>
    </row>
    <row r="9" spans="1:10" ht="15.6" x14ac:dyDescent="0.3">
      <c r="A9" s="7">
        <v>2</v>
      </c>
      <c r="B9" s="1" t="s">
        <v>6</v>
      </c>
      <c r="C9" s="1">
        <v>953.5</v>
      </c>
      <c r="D9" s="1">
        <v>97280.72</v>
      </c>
      <c r="E9" s="2">
        <f t="shared" ref="E9:E22" si="0">D9/C9</f>
        <v>102.0248767697955</v>
      </c>
      <c r="F9" s="3">
        <v>0.62219999999999998</v>
      </c>
      <c r="G9" s="15">
        <f t="shared" ref="G9:G22" si="1">1-F9</f>
        <v>0.37780000000000002</v>
      </c>
      <c r="H9" s="1">
        <v>946.3</v>
      </c>
      <c r="I9" s="13">
        <v>96989.97</v>
      </c>
    </row>
    <row r="10" spans="1:10" ht="15.6" x14ac:dyDescent="0.3">
      <c r="A10" s="7">
        <v>3</v>
      </c>
      <c r="B10" s="1" t="s">
        <v>7</v>
      </c>
      <c r="C10" s="1">
        <v>675.45</v>
      </c>
      <c r="D10" s="1">
        <v>55604.71</v>
      </c>
      <c r="E10" s="2">
        <f t="shared" si="0"/>
        <v>82.322466503812265</v>
      </c>
      <c r="F10" s="3">
        <v>0.60880000000000001</v>
      </c>
      <c r="G10" s="15">
        <f t="shared" si="1"/>
        <v>0.39119999999999999</v>
      </c>
      <c r="H10" s="1">
        <v>682.7</v>
      </c>
      <c r="I10" s="13">
        <v>56304.63</v>
      </c>
    </row>
    <row r="11" spans="1:10" ht="15.6" x14ac:dyDescent="0.3">
      <c r="A11" s="7">
        <v>4</v>
      </c>
      <c r="B11" s="1" t="s">
        <v>9</v>
      </c>
      <c r="C11" s="1">
        <v>426.5</v>
      </c>
      <c r="D11" s="1">
        <v>15015.17</v>
      </c>
      <c r="E11" s="2">
        <f t="shared" si="0"/>
        <v>35.205556858147716</v>
      </c>
      <c r="F11" s="3">
        <v>0.73159999999999992</v>
      </c>
      <c r="G11" s="15">
        <f t="shared" si="1"/>
        <v>0.26840000000000008</v>
      </c>
      <c r="H11" s="1">
        <v>424.2</v>
      </c>
      <c r="I11" s="13">
        <v>14933.89</v>
      </c>
    </row>
    <row r="12" spans="1:10" ht="15.6" x14ac:dyDescent="0.3">
      <c r="A12" s="7">
        <v>5</v>
      </c>
      <c r="B12" s="1" t="s">
        <v>5</v>
      </c>
      <c r="C12" s="1">
        <v>162.4</v>
      </c>
      <c r="D12" s="1">
        <v>202744.92</v>
      </c>
      <c r="E12" s="2">
        <f t="shared" si="0"/>
        <v>1248.4293103448276</v>
      </c>
      <c r="F12" s="3">
        <v>0.33189999999999997</v>
      </c>
      <c r="G12" s="15">
        <f t="shared" si="1"/>
        <v>0.66810000000000003</v>
      </c>
      <c r="H12" s="1">
        <v>162</v>
      </c>
      <c r="I12" s="13">
        <v>202170.74</v>
      </c>
    </row>
    <row r="13" spans="1:10" ht="15.6" x14ac:dyDescent="0.3">
      <c r="A13" s="7">
        <v>6</v>
      </c>
      <c r="B13" s="1" t="s">
        <v>12</v>
      </c>
      <c r="C13" s="1">
        <v>158.78</v>
      </c>
      <c r="D13" s="1">
        <v>2843.82</v>
      </c>
      <c r="E13" s="2">
        <f t="shared" si="0"/>
        <v>17.910442121173951</v>
      </c>
      <c r="F13" s="3">
        <v>0.44280000000000003</v>
      </c>
      <c r="G13" s="15">
        <f t="shared" si="1"/>
        <v>0.55719999999999992</v>
      </c>
      <c r="H13" s="1">
        <v>159.4</v>
      </c>
      <c r="I13" s="13">
        <v>2852.01</v>
      </c>
    </row>
    <row r="14" spans="1:10" ht="15.6" x14ac:dyDescent="0.3">
      <c r="A14" s="7">
        <v>7</v>
      </c>
      <c r="B14" s="1" t="s">
        <v>13</v>
      </c>
      <c r="C14" s="1">
        <v>144.53</v>
      </c>
      <c r="D14" s="1">
        <v>2077.1999999999998</v>
      </c>
      <c r="E14" s="2">
        <f t="shared" si="0"/>
        <v>14.372102677644778</v>
      </c>
      <c r="F14" s="3">
        <v>0.747</v>
      </c>
      <c r="G14" s="15">
        <f t="shared" si="1"/>
        <v>0.253</v>
      </c>
      <c r="H14" s="1">
        <v>143.6</v>
      </c>
      <c r="I14" s="13">
        <v>2080.7399999999998</v>
      </c>
    </row>
    <row r="15" spans="1:10" ht="15.6" x14ac:dyDescent="0.3">
      <c r="A15" s="7">
        <v>8</v>
      </c>
      <c r="B15" s="1" t="s">
        <v>8</v>
      </c>
      <c r="C15" s="1">
        <v>133.47</v>
      </c>
      <c r="D15" s="1">
        <v>55138.31</v>
      </c>
      <c r="E15" s="2">
        <f t="shared" si="0"/>
        <v>413.11388326964857</v>
      </c>
      <c r="F15" s="3">
        <v>0.65</v>
      </c>
      <c r="G15" s="15">
        <f t="shared" si="1"/>
        <v>0.35</v>
      </c>
      <c r="H15" s="1">
        <v>135</v>
      </c>
      <c r="I15" s="13">
        <v>55762.1</v>
      </c>
    </row>
    <row r="16" spans="1:10" ht="15.6" x14ac:dyDescent="0.3">
      <c r="A16" s="7">
        <v>9</v>
      </c>
      <c r="B16" s="1" t="s">
        <v>11</v>
      </c>
      <c r="C16" s="1">
        <v>127.04</v>
      </c>
      <c r="D16" s="1">
        <v>11647.68</v>
      </c>
      <c r="E16" s="2">
        <f t="shared" si="0"/>
        <v>91.685138539042825</v>
      </c>
      <c r="F16" s="3">
        <v>0.64840000000000009</v>
      </c>
      <c r="G16" s="15">
        <f t="shared" si="1"/>
        <v>0.35159999999999991</v>
      </c>
      <c r="H16" s="1">
        <v>126.8</v>
      </c>
      <c r="I16" s="13">
        <v>11567.79</v>
      </c>
    </row>
    <row r="17" spans="1:10" ht="15.6" x14ac:dyDescent="0.3">
      <c r="A17" s="7">
        <v>10</v>
      </c>
      <c r="B17" s="1" t="s">
        <v>15</v>
      </c>
      <c r="C17" s="1">
        <v>61.22</v>
      </c>
      <c r="D17" s="1">
        <v>402.8</v>
      </c>
      <c r="E17" s="2">
        <f t="shared" si="0"/>
        <v>6.579549166938909</v>
      </c>
      <c r="F17" s="3">
        <v>0.74750000000000005</v>
      </c>
      <c r="G17" s="15">
        <f t="shared" si="1"/>
        <v>0.25249999999999995</v>
      </c>
      <c r="H17" s="1">
        <v>61.8</v>
      </c>
      <c r="I17" s="13">
        <v>405</v>
      </c>
    </row>
    <row r="18" spans="1:10" ht="15.6" x14ac:dyDescent="0.3">
      <c r="A18" s="7">
        <v>11</v>
      </c>
      <c r="B18" s="1" t="s">
        <v>10</v>
      </c>
      <c r="C18" s="1">
        <v>39.92</v>
      </c>
      <c r="D18" s="1">
        <v>11698.98</v>
      </c>
      <c r="E18" s="2">
        <f t="shared" si="0"/>
        <v>293.06062124248496</v>
      </c>
      <c r="F18" s="3">
        <v>0.6079</v>
      </c>
      <c r="G18" s="15">
        <f t="shared" si="1"/>
        <v>0.3921</v>
      </c>
      <c r="H18" s="1">
        <v>39.9</v>
      </c>
      <c r="I18" s="13">
        <v>11698.97</v>
      </c>
    </row>
    <row r="19" spans="1:10" ht="15.6" x14ac:dyDescent="0.3">
      <c r="A19" s="7">
        <v>12</v>
      </c>
      <c r="B19" s="1" t="s">
        <v>17</v>
      </c>
      <c r="C19" s="1">
        <v>38</v>
      </c>
      <c r="D19" s="1">
        <v>134.88</v>
      </c>
      <c r="E19" s="2">
        <f t="shared" si="0"/>
        <v>3.5494736842105263</v>
      </c>
      <c r="F19" s="3">
        <v>0.66260000000000008</v>
      </c>
      <c r="G19" s="15">
        <f t="shared" si="1"/>
        <v>0.33739999999999992</v>
      </c>
      <c r="H19" s="1">
        <v>37.950000000000003</v>
      </c>
      <c r="I19" s="13">
        <v>440.81</v>
      </c>
    </row>
    <row r="20" spans="1:10" ht="15.6" x14ac:dyDescent="0.3">
      <c r="A20" s="7">
        <v>13</v>
      </c>
      <c r="B20" s="1" t="s">
        <v>14</v>
      </c>
      <c r="C20" s="1">
        <v>36.29</v>
      </c>
      <c r="D20" s="1">
        <v>414.34</v>
      </c>
      <c r="E20" s="2">
        <f t="shared" si="0"/>
        <v>11.417470377514466</v>
      </c>
      <c r="F20" s="3">
        <v>0.52659999999999996</v>
      </c>
      <c r="G20" s="15">
        <f t="shared" si="1"/>
        <v>0.47340000000000004</v>
      </c>
      <c r="H20" s="1">
        <v>38.07</v>
      </c>
      <c r="I20" s="13">
        <v>134.71</v>
      </c>
    </row>
    <row r="21" spans="1:10" ht="15.6" x14ac:dyDescent="0.3">
      <c r="A21" s="7">
        <v>14</v>
      </c>
      <c r="B21" s="1" t="s">
        <v>16</v>
      </c>
      <c r="C21" s="1">
        <v>36.1</v>
      </c>
      <c r="D21" s="1">
        <v>211.55</v>
      </c>
      <c r="E21" s="2">
        <f t="shared" si="0"/>
        <v>5.8601108033240994</v>
      </c>
      <c r="F21" s="3">
        <v>0.48759999999999998</v>
      </c>
      <c r="G21" s="15">
        <f t="shared" si="1"/>
        <v>0.51239999999999997</v>
      </c>
      <c r="H21" s="1">
        <v>35.5</v>
      </c>
      <c r="I21" s="13">
        <v>208.03</v>
      </c>
    </row>
    <row r="22" spans="1:10" ht="16.2" thickBot="1" x14ac:dyDescent="0.35">
      <c r="A22" s="8">
        <v>15</v>
      </c>
      <c r="B22" s="9" t="s">
        <v>18</v>
      </c>
      <c r="C22" s="9">
        <v>1.96</v>
      </c>
      <c r="D22" s="9">
        <v>26.54</v>
      </c>
      <c r="E22" s="10">
        <f t="shared" si="0"/>
        <v>13.540816326530612</v>
      </c>
      <c r="F22" s="11">
        <v>0.71019999999999994</v>
      </c>
      <c r="G22" s="16">
        <f t="shared" si="1"/>
        <v>0.28980000000000006</v>
      </c>
      <c r="H22" s="9">
        <v>2</v>
      </c>
      <c r="I22" s="14">
        <v>27.52</v>
      </c>
    </row>
    <row r="25" spans="1:10" ht="23.4" x14ac:dyDescent="0.45">
      <c r="B25" s="41" t="s">
        <v>22</v>
      </c>
      <c r="C25" s="41"/>
    </row>
    <row r="27" spans="1:10" ht="15.6" x14ac:dyDescent="0.3">
      <c r="A27" s="12" t="s">
        <v>2</v>
      </c>
      <c r="B27" s="12" t="s">
        <v>3</v>
      </c>
      <c r="C27" s="12" t="s">
        <v>25</v>
      </c>
      <c r="D27" s="12" t="s">
        <v>39</v>
      </c>
      <c r="E27" s="12" t="s">
        <v>42</v>
      </c>
      <c r="F27" s="12" t="s">
        <v>24</v>
      </c>
      <c r="G27" s="12" t="s">
        <v>38</v>
      </c>
      <c r="H27" s="12" t="s">
        <v>40</v>
      </c>
      <c r="I27" s="12" t="s">
        <v>46</v>
      </c>
      <c r="J27" s="21" t="s">
        <v>24</v>
      </c>
    </row>
    <row r="28" spans="1:10" ht="15.6" x14ac:dyDescent="0.3">
      <c r="A28" s="1">
        <v>1</v>
      </c>
      <c r="B28" s="1" t="s">
        <v>4</v>
      </c>
      <c r="C28" s="1">
        <v>1042.5999999999999</v>
      </c>
      <c r="D28" s="2">
        <v>254950.79</v>
      </c>
      <c r="E28" s="23">
        <f t="shared" ref="E28:E42" si="2">D28/$D$44</f>
        <v>0.35898833387982843</v>
      </c>
      <c r="F28" s="1">
        <f t="shared" ref="F28:F42" si="3">C28*E28</f>
        <v>374.28123690310906</v>
      </c>
      <c r="G28" s="1">
        <v>1045.05</v>
      </c>
      <c r="H28" s="1">
        <v>255562.14</v>
      </c>
      <c r="I28" s="18">
        <f>H28/H44</f>
        <v>0.35937014005910656</v>
      </c>
      <c r="J28" s="22">
        <f>I28*G28</f>
        <v>375.55976486876926</v>
      </c>
    </row>
    <row r="29" spans="1:10" ht="15.6" x14ac:dyDescent="0.3">
      <c r="A29" s="1">
        <v>2</v>
      </c>
      <c r="B29" s="1" t="s">
        <v>6</v>
      </c>
      <c r="C29" s="1">
        <v>953.5</v>
      </c>
      <c r="D29" s="2">
        <v>97280.72</v>
      </c>
      <c r="E29" s="23">
        <f t="shared" si="2"/>
        <v>0.13697797755963062</v>
      </c>
      <c r="F29" s="1">
        <f t="shared" si="3"/>
        <v>130.60850160310778</v>
      </c>
      <c r="G29" s="1">
        <v>946.3</v>
      </c>
      <c r="H29" s="1">
        <v>96989.97</v>
      </c>
      <c r="I29" s="18">
        <f t="shared" ref="I29:I42" si="4">H29/$H$44</f>
        <v>0.1363867868035091</v>
      </c>
      <c r="J29" s="22">
        <f t="shared" ref="J29:J42" si="5">I29*G29</f>
        <v>129.06281635216067</v>
      </c>
    </row>
    <row r="30" spans="1:10" ht="15.6" x14ac:dyDescent="0.3">
      <c r="A30" s="1">
        <v>3</v>
      </c>
      <c r="B30" s="1" t="s">
        <v>7</v>
      </c>
      <c r="C30" s="1">
        <v>675.45</v>
      </c>
      <c r="D30" s="2">
        <v>55604.71</v>
      </c>
      <c r="E30" s="23">
        <f t="shared" si="2"/>
        <v>7.8295274938238207E-2</v>
      </c>
      <c r="F30" s="1">
        <f t="shared" si="3"/>
        <v>52.884543457033004</v>
      </c>
      <c r="G30" s="1">
        <v>682.7</v>
      </c>
      <c r="H30" s="1">
        <v>56304.63</v>
      </c>
      <c r="I30" s="18">
        <f t="shared" si="4"/>
        <v>7.9175275215163612E-2</v>
      </c>
      <c r="J30" s="22">
        <f t="shared" si="5"/>
        <v>54.052960389392204</v>
      </c>
    </row>
    <row r="31" spans="1:10" ht="15.6" x14ac:dyDescent="0.3">
      <c r="A31" s="1">
        <v>4</v>
      </c>
      <c r="B31" s="1" t="s">
        <v>9</v>
      </c>
      <c r="C31" s="1">
        <v>426.5</v>
      </c>
      <c r="D31" s="2">
        <v>15015.17</v>
      </c>
      <c r="E31" s="23">
        <f t="shared" si="2"/>
        <v>2.1142397170930059E-2</v>
      </c>
      <c r="F31" s="1">
        <f t="shared" si="3"/>
        <v>9.0172323934016703</v>
      </c>
      <c r="G31" s="1">
        <v>424.2</v>
      </c>
      <c r="H31" s="1">
        <v>14933.89</v>
      </c>
      <c r="I31" s="18">
        <f t="shared" si="4"/>
        <v>2.0999957743847702E-2</v>
      </c>
      <c r="J31" s="22">
        <f t="shared" si="5"/>
        <v>8.9081820749401945</v>
      </c>
    </row>
    <row r="32" spans="1:10" ht="15.6" x14ac:dyDescent="0.3">
      <c r="A32" s="1">
        <v>5</v>
      </c>
      <c r="B32" s="1" t="s">
        <v>5</v>
      </c>
      <c r="C32" s="1">
        <v>162.4</v>
      </c>
      <c r="D32" s="2">
        <v>202744.92</v>
      </c>
      <c r="E32" s="23">
        <f t="shared" si="2"/>
        <v>0.28547886058089528</v>
      </c>
      <c r="F32" s="1">
        <f t="shared" si="3"/>
        <v>46.361766958337398</v>
      </c>
      <c r="G32" s="1">
        <v>162</v>
      </c>
      <c r="H32" s="1">
        <v>202170.74</v>
      </c>
      <c r="I32" s="18">
        <f t="shared" si="4"/>
        <v>0.28429143358109776</v>
      </c>
      <c r="J32" s="22">
        <f t="shared" si="5"/>
        <v>46.055212240137834</v>
      </c>
    </row>
    <row r="33" spans="1:10" ht="15.6" x14ac:dyDescent="0.3">
      <c r="A33" s="1">
        <v>6</v>
      </c>
      <c r="B33" s="1" t="s">
        <v>12</v>
      </c>
      <c r="C33" s="1">
        <v>158.78</v>
      </c>
      <c r="D33" s="2">
        <v>2843.82</v>
      </c>
      <c r="E33" s="23">
        <f t="shared" si="2"/>
        <v>4.0042951177132408E-3</v>
      </c>
      <c r="F33" s="1">
        <f t="shared" si="3"/>
        <v>0.63580197879050837</v>
      </c>
      <c r="G33" s="1">
        <v>159.4</v>
      </c>
      <c r="H33" s="1">
        <v>2852.01</v>
      </c>
      <c r="I33" s="18">
        <f t="shared" si="4"/>
        <v>4.0104814944419099E-3</v>
      </c>
      <c r="J33" s="22">
        <f t="shared" si="5"/>
        <v>0.63927075021404045</v>
      </c>
    </row>
    <row r="34" spans="1:10" ht="15.6" x14ac:dyDescent="0.3">
      <c r="A34" s="1">
        <v>7</v>
      </c>
      <c r="B34" s="1" t="s">
        <v>13</v>
      </c>
      <c r="C34" s="1">
        <v>144.53</v>
      </c>
      <c r="D34" s="2">
        <v>2077.1999999999998</v>
      </c>
      <c r="E34" s="23">
        <f t="shared" si="2"/>
        <v>2.9248411708595982E-3</v>
      </c>
      <c r="F34" s="1">
        <f t="shared" si="3"/>
        <v>0.42272729442433776</v>
      </c>
      <c r="G34" s="1">
        <v>143.6</v>
      </c>
      <c r="H34" s="1">
        <v>2080.7399999999998</v>
      </c>
      <c r="I34" s="18">
        <f t="shared" si="4"/>
        <v>2.9259256681235541E-3</v>
      </c>
      <c r="J34" s="22">
        <f t="shared" si="5"/>
        <v>0.42016292594254234</v>
      </c>
    </row>
    <row r="35" spans="1:10" ht="15.6" x14ac:dyDescent="0.3">
      <c r="A35" s="1">
        <v>8</v>
      </c>
      <c r="B35" s="1" t="s">
        <v>8</v>
      </c>
      <c r="C35" s="1">
        <v>133.47</v>
      </c>
      <c r="D35" s="2">
        <v>55138.31</v>
      </c>
      <c r="E35" s="23">
        <f t="shared" si="2"/>
        <v>7.7638551501838765E-2</v>
      </c>
      <c r="F35" s="1">
        <f t="shared" si="3"/>
        <v>10.36241746895042</v>
      </c>
      <c r="G35" s="1">
        <v>135</v>
      </c>
      <c r="H35" s="1">
        <v>55762.1</v>
      </c>
      <c r="I35" s="18">
        <f t="shared" si="4"/>
        <v>7.8412372376400918E-2</v>
      </c>
      <c r="J35" s="22">
        <f t="shared" si="5"/>
        <v>10.585670270814123</v>
      </c>
    </row>
    <row r="36" spans="1:10" ht="15.6" x14ac:dyDescent="0.3">
      <c r="A36" s="1">
        <v>9</v>
      </c>
      <c r="B36" s="1" t="s">
        <v>11</v>
      </c>
      <c r="C36" s="1">
        <v>127.04</v>
      </c>
      <c r="D36" s="2">
        <v>11647.68</v>
      </c>
      <c r="E36" s="23">
        <f t="shared" si="2"/>
        <v>1.6400738498458467E-2</v>
      </c>
      <c r="F36" s="1">
        <f t="shared" si="3"/>
        <v>2.0835498188441637</v>
      </c>
      <c r="G36" s="1">
        <v>126.8</v>
      </c>
      <c r="H36" s="1">
        <v>11567.79</v>
      </c>
      <c r="I36" s="18">
        <f t="shared" si="4"/>
        <v>1.62665655893879E-2</v>
      </c>
      <c r="J36" s="22">
        <f t="shared" si="5"/>
        <v>2.0626005167343857</v>
      </c>
    </row>
    <row r="37" spans="1:10" ht="15.6" x14ac:dyDescent="0.3">
      <c r="A37" s="1">
        <v>10</v>
      </c>
      <c r="B37" s="1" t="s">
        <v>15</v>
      </c>
      <c r="C37" s="1">
        <v>61.22</v>
      </c>
      <c r="D37" s="2">
        <v>402.8</v>
      </c>
      <c r="E37" s="23">
        <f t="shared" si="2"/>
        <v>5.6717024052678911E-4</v>
      </c>
      <c r="F37" s="1">
        <f t="shared" si="3"/>
        <v>3.4722162125050027E-2</v>
      </c>
      <c r="G37" s="1">
        <v>61.8</v>
      </c>
      <c r="H37" s="1">
        <v>405</v>
      </c>
      <c r="I37" s="18">
        <f t="shared" si="4"/>
        <v>5.6950887453023429E-4</v>
      </c>
      <c r="J37" s="22">
        <f t="shared" si="5"/>
        <v>3.519564844596848E-2</v>
      </c>
    </row>
    <row r="38" spans="1:10" ht="15.6" x14ac:dyDescent="0.3">
      <c r="A38" s="1">
        <v>11</v>
      </c>
      <c r="B38" s="1" t="s">
        <v>10</v>
      </c>
      <c r="C38" s="1">
        <v>39.92</v>
      </c>
      <c r="D38" s="2">
        <v>11698.98</v>
      </c>
      <c r="E38" s="23">
        <f t="shared" si="2"/>
        <v>1.6472972444185933E-2</v>
      </c>
      <c r="F38" s="1">
        <f t="shared" si="3"/>
        <v>0.65760105997190255</v>
      </c>
      <c r="G38" s="1">
        <v>39.9</v>
      </c>
      <c r="H38" s="1">
        <v>11698.97</v>
      </c>
      <c r="I38" s="18">
        <f t="shared" si="4"/>
        <v>1.6451030216945616E-2</v>
      </c>
      <c r="J38" s="22">
        <f t="shared" si="5"/>
        <v>0.65639610565613005</v>
      </c>
    </row>
    <row r="39" spans="1:10" ht="15.6" x14ac:dyDescent="0.3">
      <c r="A39" s="1">
        <v>12</v>
      </c>
      <c r="B39" s="1" t="s">
        <v>17</v>
      </c>
      <c r="C39" s="1">
        <v>38</v>
      </c>
      <c r="D39" s="2">
        <v>134.88</v>
      </c>
      <c r="E39" s="23">
        <f t="shared" si="2"/>
        <v>1.8992036256765965E-4</v>
      </c>
      <c r="F39" s="1">
        <f t="shared" si="3"/>
        <v>7.2169737775710664E-3</v>
      </c>
      <c r="G39" s="1">
        <v>37.950000000000003</v>
      </c>
      <c r="H39" s="1">
        <v>440.81</v>
      </c>
      <c r="I39" s="18">
        <f t="shared" si="4"/>
        <v>6.1986470859672234E-4</v>
      </c>
      <c r="J39" s="22">
        <f t="shared" si="5"/>
        <v>2.3523865691245614E-2</v>
      </c>
    </row>
    <row r="40" spans="1:10" ht="15.6" x14ac:dyDescent="0.3">
      <c r="A40" s="1">
        <v>13</v>
      </c>
      <c r="B40" s="1" t="s">
        <v>14</v>
      </c>
      <c r="C40" s="1">
        <v>36.29</v>
      </c>
      <c r="D40" s="2">
        <v>414.34</v>
      </c>
      <c r="E40" s="23">
        <f t="shared" si="2"/>
        <v>5.8341935814267562E-4</v>
      </c>
      <c r="F40" s="1">
        <f t="shared" si="3"/>
        <v>2.1172288506997698E-2</v>
      </c>
      <c r="G40" s="1">
        <v>38.07</v>
      </c>
      <c r="H40" s="1">
        <v>134.71</v>
      </c>
      <c r="I40" s="18">
        <f t="shared" si="4"/>
        <v>1.8942849503201939E-4</v>
      </c>
      <c r="J40" s="22">
        <f t="shared" si="5"/>
        <v>7.2115428058689788E-3</v>
      </c>
    </row>
    <row r="41" spans="1:10" ht="15.6" x14ac:dyDescent="0.3">
      <c r="A41" s="1">
        <v>14</v>
      </c>
      <c r="B41" s="1" t="s">
        <v>16</v>
      </c>
      <c r="C41" s="1">
        <v>36.1</v>
      </c>
      <c r="D41" s="2">
        <v>211.55</v>
      </c>
      <c r="E41" s="23">
        <f t="shared" si="2"/>
        <v>2.9787702180596382E-4</v>
      </c>
      <c r="F41" s="1">
        <f t="shared" si="3"/>
        <v>1.0753360487195295E-2</v>
      </c>
      <c r="G41" s="1">
        <v>35.5</v>
      </c>
      <c r="H41" s="1">
        <v>208.03</v>
      </c>
      <c r="I41" s="18">
        <f t="shared" si="4"/>
        <v>2.9253069424327067E-4</v>
      </c>
      <c r="J41" s="22">
        <f t="shared" si="5"/>
        <v>1.0384839645636109E-2</v>
      </c>
    </row>
    <row r="42" spans="1:10" ht="15.6" x14ac:dyDescent="0.3">
      <c r="A42" s="1">
        <v>15</v>
      </c>
      <c r="B42" s="1" t="s">
        <v>18</v>
      </c>
      <c r="C42" s="1">
        <v>1.96</v>
      </c>
      <c r="D42" s="2">
        <v>26.54</v>
      </c>
      <c r="E42" s="23">
        <f t="shared" si="2"/>
        <v>3.7370154378304319E-5</v>
      </c>
      <c r="F42" s="24">
        <f t="shared" si="3"/>
        <v>7.3245502581476471E-5</v>
      </c>
      <c r="G42" s="1">
        <v>2</v>
      </c>
      <c r="H42" s="1">
        <v>27.52</v>
      </c>
      <c r="I42" s="18">
        <f t="shared" si="4"/>
        <v>3.8698479573017401E-5</v>
      </c>
      <c r="J42" s="22">
        <f t="shared" si="5"/>
        <v>7.7396959146034801E-5</v>
      </c>
    </row>
    <row r="43" spans="1:10" ht="15.6" x14ac:dyDescent="0.3">
      <c r="A43" s="17"/>
      <c r="B43" s="17"/>
      <c r="C43" s="17"/>
      <c r="D43" s="25"/>
      <c r="E43" s="17"/>
      <c r="F43" s="17"/>
      <c r="G43" s="17"/>
      <c r="H43" s="17"/>
      <c r="I43" s="17"/>
      <c r="J43" s="17"/>
    </row>
    <row r="44" spans="1:10" ht="15.6" x14ac:dyDescent="0.3">
      <c r="A44" s="17"/>
      <c r="B44" s="19" t="s">
        <v>23</v>
      </c>
      <c r="C44" s="26"/>
      <c r="D44" s="20">
        <f>SUM(D28:D42)</f>
        <v>710192.41</v>
      </c>
      <c r="E44" s="27">
        <f>SUM(E28:E42)</f>
        <v>0.99999999999999978</v>
      </c>
      <c r="F44" s="28">
        <f>SUM(F28:F42)</f>
        <v>627.38931696636962</v>
      </c>
      <c r="G44" s="26"/>
      <c r="H44" s="20">
        <f>SUM(H28:H42)</f>
        <v>711139.05</v>
      </c>
      <c r="I44" s="27">
        <f>SUM(I28:I42)</f>
        <v>1</v>
      </c>
      <c r="J44" s="28">
        <f>SUM(J28:J42)</f>
        <v>628.07942978830931</v>
      </c>
    </row>
    <row r="45" spans="1:10" ht="15" thickBot="1" x14ac:dyDescent="0.35"/>
    <row r="46" spans="1:10" ht="18" x14ac:dyDescent="0.35">
      <c r="B46" s="29" t="s">
        <v>26</v>
      </c>
      <c r="C46" s="30">
        <v>627.39</v>
      </c>
    </row>
    <row r="47" spans="1:10" ht="18" x14ac:dyDescent="0.35">
      <c r="B47" s="31" t="s">
        <v>27</v>
      </c>
      <c r="C47" s="32">
        <v>628.08000000000004</v>
      </c>
    </row>
    <row r="48" spans="1:10" ht="24" thickBot="1" x14ac:dyDescent="0.5">
      <c r="B48" s="33" t="s">
        <v>28</v>
      </c>
      <c r="C48" s="34">
        <f>C47/C46-1</f>
        <v>1.0997943862669501E-3</v>
      </c>
    </row>
    <row r="51" spans="1:10" ht="23.4" x14ac:dyDescent="0.45">
      <c r="B51" s="41" t="s">
        <v>29</v>
      </c>
      <c r="C51" s="41"/>
    </row>
    <row r="53" spans="1:10" ht="15.6" x14ac:dyDescent="0.3">
      <c r="A53" s="12" t="s">
        <v>2</v>
      </c>
      <c r="B53" s="12" t="s">
        <v>3</v>
      </c>
      <c r="C53" s="12" t="s">
        <v>25</v>
      </c>
      <c r="D53" s="12" t="s">
        <v>21</v>
      </c>
      <c r="E53" s="12" t="s">
        <v>41</v>
      </c>
      <c r="F53" s="12" t="s">
        <v>44</v>
      </c>
      <c r="G53" s="12" t="s">
        <v>30</v>
      </c>
      <c r="H53" s="12" t="s">
        <v>43</v>
      </c>
      <c r="I53" s="12" t="s">
        <v>45</v>
      </c>
      <c r="J53" s="12" t="s">
        <v>47</v>
      </c>
    </row>
    <row r="54" spans="1:10" ht="15.6" x14ac:dyDescent="0.3">
      <c r="A54" s="1">
        <v>1</v>
      </c>
      <c r="B54" s="1" t="s">
        <v>4</v>
      </c>
      <c r="C54" s="1">
        <v>1042.5999999999999</v>
      </c>
      <c r="D54" s="15">
        <v>0.55159999999999998</v>
      </c>
      <c r="E54" s="35">
        <f>D54*D28</f>
        <v>140630.85576400001</v>
      </c>
      <c r="F54" s="36">
        <f t="shared" ref="F54:F68" si="6">E54/$E$70</f>
        <v>0.3809374231851374</v>
      </c>
      <c r="G54" s="22">
        <f>F54*C54</f>
        <v>397.16535741282422</v>
      </c>
      <c r="H54" s="35">
        <f>D54*H28</f>
        <v>140968.076424</v>
      </c>
      <c r="I54" s="23">
        <f>H54/$H$70</f>
        <v>0.38158076225207621</v>
      </c>
      <c r="J54" s="22">
        <f>I54*G28</f>
        <v>398.77097559153225</v>
      </c>
    </row>
    <row r="55" spans="1:10" ht="15.6" x14ac:dyDescent="0.3">
      <c r="A55" s="1">
        <v>2</v>
      </c>
      <c r="B55" s="1" t="s">
        <v>6</v>
      </c>
      <c r="C55" s="1">
        <v>953.5</v>
      </c>
      <c r="D55" s="15">
        <v>0.37780000000000002</v>
      </c>
      <c r="E55" s="35">
        <f t="shared" ref="E55:E68" si="7">D55*D29</f>
        <v>36752.656016000001</v>
      </c>
      <c r="F55" s="36">
        <f t="shared" si="6"/>
        <v>9.9554695887221836E-2</v>
      </c>
      <c r="G55" s="22">
        <f t="shared" ref="G55:G68" si="8">F55*C55</f>
        <v>94.925402528466023</v>
      </c>
      <c r="H55" s="35">
        <f t="shared" ref="H55:H68" si="9">D55*H29</f>
        <v>36642.810666000005</v>
      </c>
      <c r="I55" s="23">
        <f t="shared" ref="I55:I68" si="10">H55/$H$70</f>
        <v>9.9186936359516822E-2</v>
      </c>
      <c r="J55" s="22">
        <f t="shared" ref="J55:J68" si="11">I55*G29</f>
        <v>93.860597877010761</v>
      </c>
    </row>
    <row r="56" spans="1:10" ht="15.6" x14ac:dyDescent="0.3">
      <c r="A56" s="1">
        <v>3</v>
      </c>
      <c r="B56" s="1" t="s">
        <v>7</v>
      </c>
      <c r="C56" s="1">
        <v>675.45</v>
      </c>
      <c r="D56" s="15">
        <v>0.39119999999999999</v>
      </c>
      <c r="E56" s="35">
        <f t="shared" si="7"/>
        <v>21752.562551999999</v>
      </c>
      <c r="F56" s="36">
        <f t="shared" si="6"/>
        <v>5.8922809515844651E-2</v>
      </c>
      <c r="G56" s="22">
        <f t="shared" si="8"/>
        <v>39.799411687477274</v>
      </c>
      <c r="H56" s="35">
        <f t="shared" si="9"/>
        <v>22026.371255999999</v>
      </c>
      <c r="I56" s="23">
        <f t="shared" si="10"/>
        <v>5.9622290001545106E-2</v>
      </c>
      <c r="J56" s="22">
        <f t="shared" si="11"/>
        <v>40.704137384054846</v>
      </c>
    </row>
    <row r="57" spans="1:10" ht="15.6" x14ac:dyDescent="0.3">
      <c r="A57" s="1">
        <v>4</v>
      </c>
      <c r="B57" s="1" t="s">
        <v>9</v>
      </c>
      <c r="C57" s="1">
        <v>426.5</v>
      </c>
      <c r="D57" s="15">
        <v>0.26840000000000008</v>
      </c>
      <c r="E57" s="35">
        <f t="shared" si="7"/>
        <v>4030.0716280000011</v>
      </c>
      <c r="F57" s="36">
        <f t="shared" si="6"/>
        <v>1.0916559476806142E-2</v>
      </c>
      <c r="G57" s="22">
        <f t="shared" si="8"/>
        <v>4.6559126168578198</v>
      </c>
      <c r="H57" s="35">
        <f t="shared" si="9"/>
        <v>4008.256076000001</v>
      </c>
      <c r="I57" s="23">
        <f t="shared" si="10"/>
        <v>1.0849785622251716E-2</v>
      </c>
      <c r="J57" s="22">
        <f t="shared" si="11"/>
        <v>4.6024790609591779</v>
      </c>
    </row>
    <row r="58" spans="1:10" ht="15.6" x14ac:dyDescent="0.3">
      <c r="A58" s="1">
        <v>5</v>
      </c>
      <c r="B58" s="1" t="s">
        <v>5</v>
      </c>
      <c r="C58" s="1">
        <v>162.4</v>
      </c>
      <c r="D58" s="15">
        <v>0.66810000000000003</v>
      </c>
      <c r="E58" s="35">
        <f t="shared" si="7"/>
        <v>135453.88105200001</v>
      </c>
      <c r="F58" s="36">
        <f t="shared" si="6"/>
        <v>0.36691416068011939</v>
      </c>
      <c r="G58" s="22">
        <f t="shared" si="8"/>
        <v>59.586859694451391</v>
      </c>
      <c r="H58" s="35">
        <f t="shared" si="9"/>
        <v>135070.27139400001</v>
      </c>
      <c r="I58" s="23">
        <f t="shared" si="10"/>
        <v>0.36561623328884796</v>
      </c>
      <c r="J58" s="22">
        <f t="shared" si="11"/>
        <v>59.229829792793367</v>
      </c>
    </row>
    <row r="59" spans="1:10" ht="15.6" x14ac:dyDescent="0.3">
      <c r="A59" s="1">
        <v>6</v>
      </c>
      <c r="B59" s="1" t="s">
        <v>12</v>
      </c>
      <c r="C59" s="1">
        <v>158.78</v>
      </c>
      <c r="D59" s="15">
        <v>0.55719999999999992</v>
      </c>
      <c r="E59" s="35">
        <f t="shared" si="7"/>
        <v>1584.5765039999999</v>
      </c>
      <c r="F59" s="36">
        <f t="shared" si="6"/>
        <v>4.2922620856865679E-3</v>
      </c>
      <c r="G59" s="22">
        <f t="shared" si="8"/>
        <v>0.68152537396531321</v>
      </c>
      <c r="H59" s="35">
        <f t="shared" si="9"/>
        <v>1589.1399719999999</v>
      </c>
      <c r="I59" s="23">
        <f t="shared" si="10"/>
        <v>4.3015784653053918E-3</v>
      </c>
      <c r="J59" s="22">
        <f t="shared" si="11"/>
        <v>0.68567160736967947</v>
      </c>
    </row>
    <row r="60" spans="1:10" ht="15.6" x14ac:dyDescent="0.3">
      <c r="A60" s="1">
        <v>7</v>
      </c>
      <c r="B60" s="1" t="s">
        <v>13</v>
      </c>
      <c r="C60" s="1">
        <v>144.53</v>
      </c>
      <c r="D60" s="15">
        <v>0.253</v>
      </c>
      <c r="E60" s="35">
        <f t="shared" si="7"/>
        <v>525.53159999999991</v>
      </c>
      <c r="F60" s="36">
        <f t="shared" si="6"/>
        <v>1.4235471470238326E-3</v>
      </c>
      <c r="G60" s="22">
        <f t="shared" si="8"/>
        <v>0.20574526915935454</v>
      </c>
      <c r="H60" s="35">
        <f t="shared" si="9"/>
        <v>526.42721999999992</v>
      </c>
      <c r="I60" s="23">
        <f t="shared" si="10"/>
        <v>1.4249644669453846E-3</v>
      </c>
      <c r="J60" s="22">
        <f t="shared" si="11"/>
        <v>0.20462489745335721</v>
      </c>
    </row>
    <row r="61" spans="1:10" ht="15.6" x14ac:dyDescent="0.3">
      <c r="A61" s="1">
        <v>8</v>
      </c>
      <c r="B61" s="1" t="s">
        <v>8</v>
      </c>
      <c r="C61" s="1">
        <v>133.47</v>
      </c>
      <c r="D61" s="15">
        <v>0.35</v>
      </c>
      <c r="E61" s="35">
        <f t="shared" si="7"/>
        <v>19298.408499999998</v>
      </c>
      <c r="F61" s="36">
        <f t="shared" si="6"/>
        <v>5.227505703229926E-2</v>
      </c>
      <c r="G61" s="22">
        <f t="shared" si="8"/>
        <v>6.9771518621009818</v>
      </c>
      <c r="H61" s="35">
        <f t="shared" si="9"/>
        <v>19516.734999999997</v>
      </c>
      <c r="I61" s="23">
        <f t="shared" si="10"/>
        <v>5.2829057520599583E-2</v>
      </c>
      <c r="J61" s="22">
        <f t="shared" si="11"/>
        <v>7.1319227652809438</v>
      </c>
    </row>
    <row r="62" spans="1:10" ht="15.6" x14ac:dyDescent="0.3">
      <c r="A62" s="1">
        <v>9</v>
      </c>
      <c r="B62" s="1" t="s">
        <v>11</v>
      </c>
      <c r="C62" s="1">
        <v>127.04</v>
      </c>
      <c r="D62" s="15">
        <v>0.35159999999999991</v>
      </c>
      <c r="E62" s="35">
        <f t="shared" si="7"/>
        <v>4095.3242879999989</v>
      </c>
      <c r="F62" s="36">
        <f t="shared" si="6"/>
        <v>1.1093314286562041E-2</v>
      </c>
      <c r="G62" s="22">
        <f t="shared" si="8"/>
        <v>1.4092946469648417</v>
      </c>
      <c r="H62" s="35">
        <f t="shared" si="9"/>
        <v>4067.2349639999993</v>
      </c>
      <c r="I62" s="23">
        <f t="shared" si="10"/>
        <v>1.1009433179420111E-2</v>
      </c>
      <c r="J62" s="22">
        <f t="shared" si="11"/>
        <v>1.3959961271504702</v>
      </c>
    </row>
    <row r="63" spans="1:10" ht="15.6" x14ac:dyDescent="0.3">
      <c r="A63" s="1">
        <v>10</v>
      </c>
      <c r="B63" s="1" t="s">
        <v>15</v>
      </c>
      <c r="C63" s="1">
        <v>61.22</v>
      </c>
      <c r="D63" s="15">
        <v>0.25249999999999995</v>
      </c>
      <c r="E63" s="35">
        <f t="shared" si="7"/>
        <v>101.70699999999998</v>
      </c>
      <c r="F63" s="36">
        <f t="shared" si="6"/>
        <v>2.755014345138388E-4</v>
      </c>
      <c r="G63" s="22">
        <f t="shared" si="8"/>
        <v>1.686619782093721E-2</v>
      </c>
      <c r="H63" s="35">
        <f t="shared" si="9"/>
        <v>102.26249999999997</v>
      </c>
      <c r="I63" s="23">
        <f t="shared" si="10"/>
        <v>2.7681020901807162E-4</v>
      </c>
      <c r="J63" s="22">
        <f t="shared" si="11"/>
        <v>1.7106870917316826E-2</v>
      </c>
    </row>
    <row r="64" spans="1:10" ht="15.6" x14ac:dyDescent="0.3">
      <c r="A64" s="1">
        <v>11</v>
      </c>
      <c r="B64" s="1" t="s">
        <v>10</v>
      </c>
      <c r="C64" s="1">
        <v>39.92</v>
      </c>
      <c r="D64" s="15">
        <v>0.3921</v>
      </c>
      <c r="E64" s="35">
        <f t="shared" si="7"/>
        <v>4587.1700579999997</v>
      </c>
      <c r="F64" s="36">
        <f t="shared" si="6"/>
        <v>1.2425614081016344E-2</v>
      </c>
      <c r="G64" s="22">
        <f t="shared" si="8"/>
        <v>0.49603051411417248</v>
      </c>
      <c r="H64" s="35">
        <f t="shared" si="9"/>
        <v>4587.1661370000002</v>
      </c>
      <c r="I64" s="23">
        <f t="shared" si="10"/>
        <v>1.2416813760504491E-2</v>
      </c>
      <c r="J64" s="22">
        <f t="shared" si="11"/>
        <v>0.4954308690441292</v>
      </c>
    </row>
    <row r="65" spans="1:10" ht="15.6" x14ac:dyDescent="0.3">
      <c r="A65" s="1">
        <v>12</v>
      </c>
      <c r="B65" s="1" t="s">
        <v>17</v>
      </c>
      <c r="C65" s="1">
        <v>38</v>
      </c>
      <c r="D65" s="15">
        <v>0.33739999999999992</v>
      </c>
      <c r="E65" s="35">
        <f t="shared" si="7"/>
        <v>45.508511999999989</v>
      </c>
      <c r="F65" s="36">
        <f t="shared" si="6"/>
        <v>1.2327234446587009E-4</v>
      </c>
      <c r="G65" s="22">
        <f t="shared" si="8"/>
        <v>4.6843490897030635E-3</v>
      </c>
      <c r="H65" s="35">
        <f t="shared" si="9"/>
        <v>148.72929399999995</v>
      </c>
      <c r="I65" s="23">
        <f t="shared" si="10"/>
        <v>4.0258928697469966E-4</v>
      </c>
      <c r="J65" s="22">
        <f t="shared" si="11"/>
        <v>1.5278263440689853E-2</v>
      </c>
    </row>
    <row r="66" spans="1:10" ht="15.6" x14ac:dyDescent="0.3">
      <c r="A66" s="1">
        <v>13</v>
      </c>
      <c r="B66" s="1" t="s">
        <v>14</v>
      </c>
      <c r="C66" s="1">
        <v>36.29</v>
      </c>
      <c r="D66" s="15">
        <v>0.47340000000000004</v>
      </c>
      <c r="E66" s="35">
        <f t="shared" si="7"/>
        <v>196.14855600000001</v>
      </c>
      <c r="F66" s="36">
        <f t="shared" si="6"/>
        <v>5.3132241198558668E-4</v>
      </c>
      <c r="G66" s="22">
        <f t="shared" si="8"/>
        <v>1.928169033095694E-2</v>
      </c>
      <c r="H66" s="35">
        <f t="shared" si="9"/>
        <v>63.77171400000001</v>
      </c>
      <c r="I66" s="23">
        <f t="shared" si="10"/>
        <v>1.7262106326151514E-4</v>
      </c>
      <c r="J66" s="22">
        <f t="shared" si="11"/>
        <v>6.5716838783658818E-3</v>
      </c>
    </row>
    <row r="67" spans="1:10" ht="15.6" x14ac:dyDescent="0.3">
      <c r="A67" s="1">
        <v>14</v>
      </c>
      <c r="B67" s="1" t="s">
        <v>16</v>
      </c>
      <c r="C67" s="1">
        <v>36.1</v>
      </c>
      <c r="D67" s="15">
        <v>0.51239999999999997</v>
      </c>
      <c r="E67" s="35">
        <f t="shared" si="7"/>
        <v>108.39821999999999</v>
      </c>
      <c r="F67" s="36">
        <f t="shared" si="6"/>
        <v>2.9362644762648293E-4</v>
      </c>
      <c r="G67" s="22">
        <f t="shared" si="8"/>
        <v>1.0599914759316034E-2</v>
      </c>
      <c r="H67" s="35">
        <f t="shared" si="9"/>
        <v>106.594572</v>
      </c>
      <c r="I67" s="23">
        <f t="shared" si="10"/>
        <v>2.8853651881688685E-4</v>
      </c>
      <c r="J67" s="22">
        <f t="shared" si="11"/>
        <v>1.0243046417999483E-2</v>
      </c>
    </row>
    <row r="68" spans="1:10" ht="15.6" x14ac:dyDescent="0.3">
      <c r="A68" s="1">
        <v>15</v>
      </c>
      <c r="B68" s="1" t="s">
        <v>18</v>
      </c>
      <c r="C68" s="1">
        <v>1.96</v>
      </c>
      <c r="D68" s="15">
        <v>0.28980000000000006</v>
      </c>
      <c r="E68" s="35">
        <f t="shared" si="7"/>
        <v>7.6912920000000016</v>
      </c>
      <c r="F68" s="36">
        <f t="shared" si="6"/>
        <v>2.0833983691042046E-5</v>
      </c>
      <c r="G68" s="22">
        <f t="shared" si="8"/>
        <v>4.0834608034442412E-5</v>
      </c>
      <c r="H68" s="35">
        <f t="shared" si="9"/>
        <v>7.9752960000000011</v>
      </c>
      <c r="I68" s="23">
        <f t="shared" si="10"/>
        <v>2.1588004916181314E-5</v>
      </c>
      <c r="J68" s="22">
        <f t="shared" si="11"/>
        <v>4.3176009832362627E-5</v>
      </c>
    </row>
    <row r="69" spans="1:10" ht="15.6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spans="1:10" ht="15.6" x14ac:dyDescent="0.3">
      <c r="A70" s="17"/>
      <c r="B70" s="19" t="s">
        <v>23</v>
      </c>
      <c r="C70" s="26"/>
      <c r="D70" s="26"/>
      <c r="E70" s="20">
        <f t="shared" ref="E70:J70" si="12">SUM(E54:E68)</f>
        <v>369170.49154199992</v>
      </c>
      <c r="F70" s="40">
        <f t="shared" si="12"/>
        <v>1.0000000000000004</v>
      </c>
      <c r="G70" s="28">
        <f t="shared" si="12"/>
        <v>605.95416459299042</v>
      </c>
      <c r="H70" s="20">
        <f t="shared" si="12"/>
        <v>369431.82248499995</v>
      </c>
      <c r="I70" s="27">
        <f t="shared" si="12"/>
        <v>1.0000000000000002</v>
      </c>
      <c r="J70" s="28">
        <f t="shared" si="12"/>
        <v>607.1309090133135</v>
      </c>
    </row>
    <row r="71" spans="1:10" ht="15" thickBot="1" x14ac:dyDescent="0.35"/>
    <row r="72" spans="1:10" ht="18" x14ac:dyDescent="0.35">
      <c r="B72" s="29" t="s">
        <v>26</v>
      </c>
      <c r="C72" s="30">
        <v>605.95000000000005</v>
      </c>
    </row>
    <row r="73" spans="1:10" ht="18" x14ac:dyDescent="0.35">
      <c r="B73" s="31" t="s">
        <v>27</v>
      </c>
      <c r="C73" s="32">
        <v>607.13</v>
      </c>
    </row>
    <row r="74" spans="1:10" ht="24" thickBot="1" x14ac:dyDescent="0.5">
      <c r="B74" s="33" t="s">
        <v>28</v>
      </c>
      <c r="C74" s="34">
        <f>C73/C72-1</f>
        <v>1.9473553923590181E-3</v>
      </c>
    </row>
    <row r="77" spans="1:10" ht="23.4" x14ac:dyDescent="0.45">
      <c r="B77" s="41" t="s">
        <v>31</v>
      </c>
      <c r="C77" s="41"/>
    </row>
    <row r="79" spans="1:10" ht="15.6" x14ac:dyDescent="0.3">
      <c r="A79" s="12" t="s">
        <v>2</v>
      </c>
      <c r="B79" s="12" t="s">
        <v>3</v>
      </c>
      <c r="C79" s="12" t="s">
        <v>25</v>
      </c>
      <c r="D79" s="12" t="s">
        <v>32</v>
      </c>
      <c r="E79" s="12" t="s">
        <v>33</v>
      </c>
      <c r="F79" s="12" t="s">
        <v>34</v>
      </c>
      <c r="G79" s="12" t="s">
        <v>38</v>
      </c>
      <c r="H79" s="12" t="s">
        <v>34</v>
      </c>
    </row>
    <row r="80" spans="1:10" ht="15.6" x14ac:dyDescent="0.3">
      <c r="A80" s="1">
        <v>1</v>
      </c>
      <c r="B80" s="1" t="s">
        <v>4</v>
      </c>
      <c r="C80" s="1">
        <v>1042.5999999999999</v>
      </c>
      <c r="D80" s="1">
        <v>905.45</v>
      </c>
      <c r="E80" s="36">
        <f>D80/$D$96</f>
        <v>0.22750000000000006</v>
      </c>
      <c r="F80" s="38">
        <f>E80*C80</f>
        <v>237.19150000000005</v>
      </c>
      <c r="G80" s="1">
        <v>1045.05</v>
      </c>
      <c r="H80" s="38">
        <f>G80*E80</f>
        <v>237.74887500000006</v>
      </c>
    </row>
    <row r="81" spans="1:8" ht="15.6" x14ac:dyDescent="0.3">
      <c r="A81" s="1">
        <v>2</v>
      </c>
      <c r="B81" s="1" t="s">
        <v>6</v>
      </c>
      <c r="C81" s="1">
        <v>953.5</v>
      </c>
      <c r="D81" s="1">
        <v>938.1</v>
      </c>
      <c r="E81" s="36">
        <f t="shared" ref="E81:E94" si="13">D81/$D$96</f>
        <v>0.23570351758793975</v>
      </c>
      <c r="F81" s="38">
        <f t="shared" ref="F81:F94" si="14">E81*C81</f>
        <v>224.74330402010057</v>
      </c>
      <c r="G81" s="1">
        <v>946.3</v>
      </c>
      <c r="H81" s="38">
        <f t="shared" ref="H81:H94" si="15">G81*E81</f>
        <v>223.04623869346739</v>
      </c>
    </row>
    <row r="82" spans="1:8" ht="15.6" x14ac:dyDescent="0.3">
      <c r="A82" s="1">
        <v>3</v>
      </c>
      <c r="B82" s="1" t="s">
        <v>7</v>
      </c>
      <c r="C82" s="1">
        <v>675.45</v>
      </c>
      <c r="D82" s="1">
        <v>696.85</v>
      </c>
      <c r="E82" s="36">
        <f t="shared" si="13"/>
        <v>0.17508793969849251</v>
      </c>
      <c r="F82" s="38">
        <f t="shared" si="14"/>
        <v>118.26314886934678</v>
      </c>
      <c r="G82" s="1">
        <v>682.7</v>
      </c>
      <c r="H82" s="38">
        <f t="shared" si="15"/>
        <v>119.53253643216084</v>
      </c>
    </row>
    <row r="83" spans="1:8" ht="15.6" x14ac:dyDescent="0.3">
      <c r="A83" s="1">
        <v>4</v>
      </c>
      <c r="B83" s="1" t="s">
        <v>9</v>
      </c>
      <c r="C83" s="1">
        <v>426.5</v>
      </c>
      <c r="D83" s="1">
        <v>482.35</v>
      </c>
      <c r="E83" s="36">
        <f t="shared" si="13"/>
        <v>0.12119346733668344</v>
      </c>
      <c r="F83" s="38">
        <f t="shared" si="14"/>
        <v>51.689013819095486</v>
      </c>
      <c r="G83" s="1">
        <v>424.2</v>
      </c>
      <c r="H83" s="38">
        <f t="shared" si="15"/>
        <v>51.410268844221115</v>
      </c>
    </row>
    <row r="84" spans="1:8" ht="15.6" x14ac:dyDescent="0.3">
      <c r="A84" s="1">
        <v>5</v>
      </c>
      <c r="B84" s="1" t="s">
        <v>5</v>
      </c>
      <c r="C84" s="1">
        <v>162.4</v>
      </c>
      <c r="D84" s="1">
        <v>136.74</v>
      </c>
      <c r="E84" s="36">
        <f t="shared" si="13"/>
        <v>3.4356783919597997E-2</v>
      </c>
      <c r="F84" s="38">
        <f t="shared" si="14"/>
        <v>5.579541708542715</v>
      </c>
      <c r="G84" s="1">
        <v>162</v>
      </c>
      <c r="H84" s="38">
        <f t="shared" si="15"/>
        <v>5.5657989949748758</v>
      </c>
    </row>
    <row r="85" spans="1:8" ht="15.6" x14ac:dyDescent="0.3">
      <c r="A85" s="1">
        <v>6</v>
      </c>
      <c r="B85" s="1" t="s">
        <v>12</v>
      </c>
      <c r="C85" s="1">
        <v>158.78</v>
      </c>
      <c r="D85" s="1">
        <v>157.99</v>
      </c>
      <c r="E85" s="36">
        <f t="shared" si="13"/>
        <v>3.9695979899497497E-2</v>
      </c>
      <c r="F85" s="38">
        <f t="shared" si="14"/>
        <v>6.302927688442213</v>
      </c>
      <c r="G85" s="1">
        <v>159.4</v>
      </c>
      <c r="H85" s="38">
        <f t="shared" si="15"/>
        <v>6.3275391959799014</v>
      </c>
    </row>
    <row r="86" spans="1:8" ht="15.6" x14ac:dyDescent="0.3">
      <c r="A86" s="1">
        <v>7</v>
      </c>
      <c r="B86" s="1" t="s">
        <v>13</v>
      </c>
      <c r="C86" s="1">
        <v>144.53</v>
      </c>
      <c r="D86" s="1">
        <v>132.18</v>
      </c>
      <c r="E86" s="36">
        <f t="shared" si="13"/>
        <v>3.3211055276381921E-2</v>
      </c>
      <c r="F86" s="38">
        <f t="shared" si="14"/>
        <v>4.7999938190954792</v>
      </c>
      <c r="G86" s="1">
        <v>143.6</v>
      </c>
      <c r="H86" s="38">
        <f t="shared" si="15"/>
        <v>4.769107537688444</v>
      </c>
    </row>
    <row r="87" spans="1:8" ht="15.6" x14ac:dyDescent="0.3">
      <c r="A87" s="1">
        <v>8</v>
      </c>
      <c r="B87" s="1" t="s">
        <v>8</v>
      </c>
      <c r="C87" s="1">
        <v>133.47</v>
      </c>
      <c r="D87" s="1">
        <v>112.93</v>
      </c>
      <c r="E87" s="36">
        <f t="shared" si="13"/>
        <v>2.8374371859296491E-2</v>
      </c>
      <c r="F87" s="38">
        <f t="shared" si="14"/>
        <v>3.7871274120603027</v>
      </c>
      <c r="G87" s="1">
        <v>135</v>
      </c>
      <c r="H87" s="38">
        <f t="shared" si="15"/>
        <v>3.830540201005026</v>
      </c>
    </row>
    <row r="88" spans="1:8" ht="15.6" x14ac:dyDescent="0.3">
      <c r="A88" s="1">
        <v>9</v>
      </c>
      <c r="B88" s="1" t="s">
        <v>11</v>
      </c>
      <c r="C88" s="1">
        <v>127.04</v>
      </c>
      <c r="D88" s="1">
        <v>181.4</v>
      </c>
      <c r="E88" s="36">
        <f t="shared" si="13"/>
        <v>4.5577889447236196E-2</v>
      </c>
      <c r="F88" s="38">
        <f t="shared" si="14"/>
        <v>5.7902150753768868</v>
      </c>
      <c r="G88" s="1">
        <v>126.8</v>
      </c>
      <c r="H88" s="38">
        <f t="shared" si="15"/>
        <v>5.7792763819095496</v>
      </c>
    </row>
    <row r="89" spans="1:8" ht="15.6" x14ac:dyDescent="0.3">
      <c r="A89" s="1">
        <v>10</v>
      </c>
      <c r="B89" s="1" t="s">
        <v>15</v>
      </c>
      <c r="C89" s="1">
        <v>61.22</v>
      </c>
      <c r="D89" s="1">
        <v>61.92</v>
      </c>
      <c r="E89" s="36">
        <f t="shared" si="13"/>
        <v>1.5557788944723622E-2</v>
      </c>
      <c r="F89" s="38">
        <f t="shared" si="14"/>
        <v>0.95244783919598008</v>
      </c>
      <c r="G89" s="1">
        <v>61.8</v>
      </c>
      <c r="H89" s="38">
        <f t="shared" si="15"/>
        <v>0.96147135678391982</v>
      </c>
    </row>
    <row r="90" spans="1:8" ht="15.6" x14ac:dyDescent="0.3">
      <c r="A90" s="1">
        <v>11</v>
      </c>
      <c r="B90" s="1" t="s">
        <v>10</v>
      </c>
      <c r="C90" s="1">
        <v>39.92</v>
      </c>
      <c r="D90" s="1">
        <v>43.59</v>
      </c>
      <c r="E90" s="36">
        <f t="shared" si="13"/>
        <v>1.0952261306532667E-2</v>
      </c>
      <c r="F90" s="38">
        <f t="shared" si="14"/>
        <v>0.43721427135678409</v>
      </c>
      <c r="G90" s="1">
        <v>39.9</v>
      </c>
      <c r="H90" s="38">
        <f t="shared" si="15"/>
        <v>0.43699522613065339</v>
      </c>
    </row>
    <row r="91" spans="1:8" ht="15.6" x14ac:dyDescent="0.3">
      <c r="A91" s="1">
        <v>12</v>
      </c>
      <c r="B91" s="1" t="s">
        <v>17</v>
      </c>
      <c r="C91" s="1">
        <v>38</v>
      </c>
      <c r="D91" s="1">
        <v>43.14</v>
      </c>
      <c r="E91" s="36">
        <f t="shared" si="13"/>
        <v>1.0839195979899499E-2</v>
      </c>
      <c r="F91" s="38">
        <f t="shared" si="14"/>
        <v>0.41188944723618098</v>
      </c>
      <c r="G91" s="1">
        <v>37.950000000000003</v>
      </c>
      <c r="H91" s="38">
        <f t="shared" si="15"/>
        <v>0.41134748743718602</v>
      </c>
    </row>
    <row r="92" spans="1:8" ht="15.6" x14ac:dyDescent="0.3">
      <c r="A92" s="1">
        <v>13</v>
      </c>
      <c r="B92" s="1" t="s">
        <v>14</v>
      </c>
      <c r="C92" s="1">
        <v>36.29</v>
      </c>
      <c r="D92" s="1">
        <v>35.659999999999997</v>
      </c>
      <c r="E92" s="36">
        <f t="shared" si="13"/>
        <v>8.9597989949748748E-3</v>
      </c>
      <c r="F92" s="38">
        <f t="shared" si="14"/>
        <v>0.32515110552763821</v>
      </c>
      <c r="G92" s="1">
        <v>38.07</v>
      </c>
      <c r="H92" s="38">
        <f t="shared" si="15"/>
        <v>0.3410995477386935</v>
      </c>
    </row>
    <row r="93" spans="1:8" ht="15.6" x14ac:dyDescent="0.3">
      <c r="A93" s="1">
        <v>14</v>
      </c>
      <c r="B93" s="1" t="s">
        <v>16</v>
      </c>
      <c r="C93" s="1">
        <v>36.1</v>
      </c>
      <c r="D93" s="1">
        <v>46.99</v>
      </c>
      <c r="E93" s="36">
        <f t="shared" si="13"/>
        <v>1.1806532663316585E-2</v>
      </c>
      <c r="F93" s="38">
        <f t="shared" si="14"/>
        <v>0.42621582914572875</v>
      </c>
      <c r="G93" s="1">
        <v>35.5</v>
      </c>
      <c r="H93" s="38">
        <f t="shared" si="15"/>
        <v>0.41913190954773877</v>
      </c>
    </row>
    <row r="94" spans="1:8" ht="15.6" x14ac:dyDescent="0.3">
      <c r="A94" s="1">
        <v>15</v>
      </c>
      <c r="B94" s="1" t="s">
        <v>18</v>
      </c>
      <c r="C94" s="1">
        <v>1.96</v>
      </c>
      <c r="D94" s="1">
        <v>4.71</v>
      </c>
      <c r="E94" s="36">
        <f t="shared" si="13"/>
        <v>1.183417085427136E-3</v>
      </c>
      <c r="F94" s="38">
        <f t="shared" si="14"/>
        <v>2.3194974874371868E-3</v>
      </c>
      <c r="G94" s="1">
        <v>2</v>
      </c>
      <c r="H94" s="38">
        <f t="shared" si="15"/>
        <v>2.3668341708542721E-3</v>
      </c>
    </row>
    <row r="95" spans="1:8" ht="15.6" x14ac:dyDescent="0.3">
      <c r="A95" s="17"/>
      <c r="B95" s="17"/>
      <c r="C95" s="17"/>
      <c r="D95" s="17"/>
      <c r="E95" s="17"/>
      <c r="F95" s="17"/>
      <c r="G95" s="17"/>
      <c r="H95" s="17"/>
    </row>
    <row r="96" spans="1:8" ht="15.6" x14ac:dyDescent="0.3">
      <c r="A96" s="17"/>
      <c r="B96" s="19" t="s">
        <v>23</v>
      </c>
      <c r="C96" s="26"/>
      <c r="D96" s="39">
        <f>SUM(D80:D94)</f>
        <v>3979.9999999999991</v>
      </c>
      <c r="E96" s="40">
        <f>SUM(E80:E94)</f>
        <v>1.0000000000000002</v>
      </c>
      <c r="F96" s="28">
        <f>SUM(F80:F94)</f>
        <v>660.70201040201005</v>
      </c>
      <c r="G96" s="26"/>
      <c r="H96" s="28">
        <f>SUM(H80:H94)</f>
        <v>660.58259364321634</v>
      </c>
    </row>
    <row r="97" spans="1:7" ht="15" thickBot="1" x14ac:dyDescent="0.35"/>
    <row r="98" spans="1:7" ht="18" x14ac:dyDescent="0.35">
      <c r="B98" s="29" t="s">
        <v>26</v>
      </c>
      <c r="C98" s="30">
        <v>660.7</v>
      </c>
    </row>
    <row r="99" spans="1:7" ht="18" x14ac:dyDescent="0.35">
      <c r="B99" s="31" t="s">
        <v>27</v>
      </c>
      <c r="C99" s="32">
        <v>660.58</v>
      </c>
    </row>
    <row r="100" spans="1:7" ht="24" thickBot="1" x14ac:dyDescent="0.5">
      <c r="B100" s="33" t="s">
        <v>28</v>
      </c>
      <c r="C100" s="34">
        <f>H96/F96-1</f>
        <v>-1.8074223615738294E-4</v>
      </c>
    </row>
    <row r="103" spans="1:7" ht="23.4" x14ac:dyDescent="0.45">
      <c r="B103" s="41" t="s">
        <v>35</v>
      </c>
      <c r="C103" s="41"/>
    </row>
    <row r="105" spans="1:7" ht="15.6" x14ac:dyDescent="0.3">
      <c r="A105" s="12" t="s">
        <v>2</v>
      </c>
      <c r="B105" s="12" t="s">
        <v>3</v>
      </c>
      <c r="C105" s="12" t="s">
        <v>25</v>
      </c>
      <c r="D105" s="12" t="s">
        <v>36</v>
      </c>
      <c r="E105" s="37" t="s">
        <v>37</v>
      </c>
      <c r="F105" s="12" t="s">
        <v>38</v>
      </c>
      <c r="G105" s="12" t="s">
        <v>37</v>
      </c>
    </row>
    <row r="106" spans="1:7" ht="15.6" x14ac:dyDescent="0.3">
      <c r="A106" s="1">
        <v>1</v>
      </c>
      <c r="B106" s="1" t="s">
        <v>4</v>
      </c>
      <c r="C106" s="1">
        <v>1042.5999999999999</v>
      </c>
      <c r="D106" s="36">
        <f>$A$106/$A$120</f>
        <v>6.6666666666666666E-2</v>
      </c>
      <c r="E106" s="35">
        <f>D106*C106</f>
        <v>69.506666666666661</v>
      </c>
      <c r="F106" s="1">
        <v>1045.05</v>
      </c>
      <c r="G106" s="35">
        <f>F106*D106</f>
        <v>69.67</v>
      </c>
    </row>
    <row r="107" spans="1:7" ht="15.6" x14ac:dyDescent="0.3">
      <c r="A107" s="1">
        <v>2</v>
      </c>
      <c r="B107" s="1" t="s">
        <v>6</v>
      </c>
      <c r="C107" s="1">
        <v>953.5</v>
      </c>
      <c r="D107" s="36">
        <f t="shared" ref="D107:D120" si="16">$A$106/$A$120</f>
        <v>6.6666666666666666E-2</v>
      </c>
      <c r="E107" s="35">
        <f t="shared" ref="E107:E120" si="17">D107*C107</f>
        <v>63.566666666666663</v>
      </c>
      <c r="F107" s="1">
        <v>946.3</v>
      </c>
      <c r="G107" s="35">
        <f t="shared" ref="G107:G120" si="18">F107*D107</f>
        <v>63.086666666666666</v>
      </c>
    </row>
    <row r="108" spans="1:7" ht="15.6" x14ac:dyDescent="0.3">
      <c r="A108" s="1">
        <v>3</v>
      </c>
      <c r="B108" s="1" t="s">
        <v>7</v>
      </c>
      <c r="C108" s="1">
        <v>675.45</v>
      </c>
      <c r="D108" s="36">
        <f t="shared" si="16"/>
        <v>6.6666666666666666E-2</v>
      </c>
      <c r="E108" s="35">
        <f t="shared" si="17"/>
        <v>45.03</v>
      </c>
      <c r="F108" s="1">
        <v>682.7</v>
      </c>
      <c r="G108" s="35">
        <f t="shared" si="18"/>
        <v>45.513333333333335</v>
      </c>
    </row>
    <row r="109" spans="1:7" ht="15.6" x14ac:dyDescent="0.3">
      <c r="A109" s="1">
        <v>4</v>
      </c>
      <c r="B109" s="1" t="s">
        <v>9</v>
      </c>
      <c r="C109" s="1">
        <v>426.5</v>
      </c>
      <c r="D109" s="36">
        <f t="shared" si="16"/>
        <v>6.6666666666666666E-2</v>
      </c>
      <c r="E109" s="35">
        <f t="shared" si="17"/>
        <v>28.433333333333334</v>
      </c>
      <c r="F109" s="1">
        <v>424.2</v>
      </c>
      <c r="G109" s="35">
        <f t="shared" si="18"/>
        <v>28.279999999999998</v>
      </c>
    </row>
    <row r="110" spans="1:7" ht="15.6" x14ac:dyDescent="0.3">
      <c r="A110" s="1">
        <v>5</v>
      </c>
      <c r="B110" s="1" t="s">
        <v>5</v>
      </c>
      <c r="C110" s="1">
        <v>162.4</v>
      </c>
      <c r="D110" s="36">
        <f t="shared" si="16"/>
        <v>6.6666666666666666E-2</v>
      </c>
      <c r="E110" s="35">
        <f t="shared" si="17"/>
        <v>10.826666666666666</v>
      </c>
      <c r="F110" s="1">
        <v>162</v>
      </c>
      <c r="G110" s="35">
        <f t="shared" si="18"/>
        <v>10.8</v>
      </c>
    </row>
    <row r="111" spans="1:7" ht="15.6" x14ac:dyDescent="0.3">
      <c r="A111" s="1">
        <v>6</v>
      </c>
      <c r="B111" s="1" t="s">
        <v>12</v>
      </c>
      <c r="C111" s="1">
        <v>158.78</v>
      </c>
      <c r="D111" s="36">
        <f t="shared" si="16"/>
        <v>6.6666666666666666E-2</v>
      </c>
      <c r="E111" s="35">
        <f t="shared" si="17"/>
        <v>10.585333333333333</v>
      </c>
      <c r="F111" s="1">
        <v>159.4</v>
      </c>
      <c r="G111" s="35">
        <f t="shared" si="18"/>
        <v>10.626666666666667</v>
      </c>
    </row>
    <row r="112" spans="1:7" ht="15.6" x14ac:dyDescent="0.3">
      <c r="A112" s="1">
        <v>7</v>
      </c>
      <c r="B112" s="1" t="s">
        <v>13</v>
      </c>
      <c r="C112" s="1">
        <v>144.53</v>
      </c>
      <c r="D112" s="36">
        <f t="shared" si="16"/>
        <v>6.6666666666666666E-2</v>
      </c>
      <c r="E112" s="35">
        <f t="shared" si="17"/>
        <v>9.6353333333333335</v>
      </c>
      <c r="F112" s="1">
        <v>143.6</v>
      </c>
      <c r="G112" s="35">
        <f t="shared" si="18"/>
        <v>9.5733333333333324</v>
      </c>
    </row>
    <row r="113" spans="1:7" ht="15.6" x14ac:dyDescent="0.3">
      <c r="A113" s="1">
        <v>8</v>
      </c>
      <c r="B113" s="1" t="s">
        <v>8</v>
      </c>
      <c r="C113" s="1">
        <v>133.47</v>
      </c>
      <c r="D113" s="36">
        <f t="shared" si="16"/>
        <v>6.6666666666666666E-2</v>
      </c>
      <c r="E113" s="35">
        <f t="shared" si="17"/>
        <v>8.8979999999999997</v>
      </c>
      <c r="F113" s="1">
        <v>135</v>
      </c>
      <c r="G113" s="35">
        <f t="shared" si="18"/>
        <v>9</v>
      </c>
    </row>
    <row r="114" spans="1:7" ht="15.6" x14ac:dyDescent="0.3">
      <c r="A114" s="1">
        <v>9</v>
      </c>
      <c r="B114" s="1" t="s">
        <v>11</v>
      </c>
      <c r="C114" s="1">
        <v>127.04</v>
      </c>
      <c r="D114" s="36">
        <f t="shared" si="16"/>
        <v>6.6666666666666666E-2</v>
      </c>
      <c r="E114" s="35">
        <f t="shared" si="17"/>
        <v>8.4693333333333332</v>
      </c>
      <c r="F114" s="1">
        <v>126.8</v>
      </c>
      <c r="G114" s="35">
        <f t="shared" si="18"/>
        <v>8.4533333333333331</v>
      </c>
    </row>
    <row r="115" spans="1:7" ht="15.6" x14ac:dyDescent="0.3">
      <c r="A115" s="1">
        <v>10</v>
      </c>
      <c r="B115" s="1" t="s">
        <v>15</v>
      </c>
      <c r="C115" s="1">
        <v>61.22</v>
      </c>
      <c r="D115" s="36">
        <f t="shared" si="16"/>
        <v>6.6666666666666666E-2</v>
      </c>
      <c r="E115" s="35">
        <f t="shared" si="17"/>
        <v>4.0813333333333333</v>
      </c>
      <c r="F115" s="1">
        <v>61.8</v>
      </c>
      <c r="G115" s="35">
        <f t="shared" si="18"/>
        <v>4.12</v>
      </c>
    </row>
    <row r="116" spans="1:7" ht="15.6" x14ac:dyDescent="0.3">
      <c r="A116" s="1">
        <v>11</v>
      </c>
      <c r="B116" s="1" t="s">
        <v>10</v>
      </c>
      <c r="C116" s="1">
        <v>39.92</v>
      </c>
      <c r="D116" s="36">
        <f t="shared" si="16"/>
        <v>6.6666666666666666E-2</v>
      </c>
      <c r="E116" s="35">
        <f t="shared" si="17"/>
        <v>2.6613333333333333</v>
      </c>
      <c r="F116" s="1">
        <v>39.9</v>
      </c>
      <c r="G116" s="35">
        <f t="shared" si="18"/>
        <v>2.6599999999999997</v>
      </c>
    </row>
    <row r="117" spans="1:7" ht="15.6" x14ac:dyDescent="0.3">
      <c r="A117" s="1">
        <v>12</v>
      </c>
      <c r="B117" s="1" t="s">
        <v>17</v>
      </c>
      <c r="C117" s="1">
        <v>38</v>
      </c>
      <c r="D117" s="36">
        <f t="shared" si="16"/>
        <v>6.6666666666666666E-2</v>
      </c>
      <c r="E117" s="35">
        <f t="shared" si="17"/>
        <v>2.5333333333333332</v>
      </c>
      <c r="F117" s="1">
        <v>37.950000000000003</v>
      </c>
      <c r="G117" s="35">
        <f t="shared" si="18"/>
        <v>2.5300000000000002</v>
      </c>
    </row>
    <row r="118" spans="1:7" ht="15.6" x14ac:dyDescent="0.3">
      <c r="A118" s="1">
        <v>13</v>
      </c>
      <c r="B118" s="1" t="s">
        <v>14</v>
      </c>
      <c r="C118" s="1">
        <v>36.29</v>
      </c>
      <c r="D118" s="36">
        <f t="shared" si="16"/>
        <v>6.6666666666666666E-2</v>
      </c>
      <c r="E118" s="35">
        <f t="shared" si="17"/>
        <v>2.4193333333333333</v>
      </c>
      <c r="F118" s="1">
        <v>38.07</v>
      </c>
      <c r="G118" s="35">
        <f t="shared" si="18"/>
        <v>2.5379999999999998</v>
      </c>
    </row>
    <row r="119" spans="1:7" ht="15.6" x14ac:dyDescent="0.3">
      <c r="A119" s="1">
        <v>14</v>
      </c>
      <c r="B119" s="1" t="s">
        <v>16</v>
      </c>
      <c r="C119" s="1">
        <v>36.1</v>
      </c>
      <c r="D119" s="36">
        <f t="shared" si="16"/>
        <v>6.6666666666666666E-2</v>
      </c>
      <c r="E119" s="35">
        <f t="shared" si="17"/>
        <v>2.4066666666666667</v>
      </c>
      <c r="F119" s="1">
        <v>35.5</v>
      </c>
      <c r="G119" s="35">
        <f t="shared" si="18"/>
        <v>2.3666666666666667</v>
      </c>
    </row>
    <row r="120" spans="1:7" ht="15.6" x14ac:dyDescent="0.3">
      <c r="A120" s="1">
        <v>15</v>
      </c>
      <c r="B120" s="1" t="s">
        <v>18</v>
      </c>
      <c r="C120" s="1">
        <v>1.96</v>
      </c>
      <c r="D120" s="36">
        <f t="shared" si="16"/>
        <v>6.6666666666666666E-2</v>
      </c>
      <c r="E120" s="35">
        <f t="shared" si="17"/>
        <v>0.13066666666666665</v>
      </c>
      <c r="F120" s="1">
        <v>2</v>
      </c>
      <c r="G120" s="35">
        <f t="shared" si="18"/>
        <v>0.13333333333333333</v>
      </c>
    </row>
    <row r="122" spans="1:7" ht="15.6" x14ac:dyDescent="0.3">
      <c r="B122" s="19" t="s">
        <v>23</v>
      </c>
      <c r="C122" s="26"/>
      <c r="D122" s="26"/>
      <c r="E122" s="28">
        <f>SUM(E106:E120)</f>
        <v>269.18400000000003</v>
      </c>
      <c r="F122" s="26"/>
      <c r="G122" s="28">
        <f>SUM(G106:G120)</f>
        <v>269.35133333333334</v>
      </c>
    </row>
    <row r="123" spans="1:7" ht="15" thickBot="1" x14ac:dyDescent="0.35"/>
    <row r="124" spans="1:7" ht="18" x14ac:dyDescent="0.35">
      <c r="B124" s="29" t="s">
        <v>26</v>
      </c>
      <c r="C124" s="30">
        <v>269.18</v>
      </c>
    </row>
    <row r="125" spans="1:7" ht="18" x14ac:dyDescent="0.35">
      <c r="B125" s="31" t="s">
        <v>27</v>
      </c>
      <c r="C125" s="32">
        <v>269.35000000000002</v>
      </c>
    </row>
    <row r="126" spans="1:7" ht="24" thickBot="1" x14ac:dyDescent="0.5">
      <c r="B126" s="33" t="s">
        <v>28</v>
      </c>
      <c r="C126" s="34">
        <f>C125/C124-1</f>
        <v>6.3154766327366829E-4</v>
      </c>
    </row>
  </sheetData>
  <mergeCells count="6">
    <mergeCell ref="B2:J2"/>
    <mergeCell ref="B77:C77"/>
    <mergeCell ref="B103:C103"/>
    <mergeCell ref="B5:C5"/>
    <mergeCell ref="B25:C25"/>
    <mergeCell ref="B51:C5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Samaksh Aggarwal</dc:creator>
  <cp:lastModifiedBy>Samaksh Aggarwal</cp:lastModifiedBy>
  <cp:lastPrinted>2025-07-08T11:23:20Z</cp:lastPrinted>
  <dcterms:created xsi:type="dcterms:W3CDTF">2025-07-06T19:30:32Z</dcterms:created>
  <dcterms:modified xsi:type="dcterms:W3CDTF">2025-07-08T11:29:42Z</dcterms:modified>
</cp:coreProperties>
</file>